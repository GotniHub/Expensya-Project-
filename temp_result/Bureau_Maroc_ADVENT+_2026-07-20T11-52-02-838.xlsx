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yassGotni\Music\"/>
    </mc:Choice>
  </mc:AlternateContent>
  <xr:revisionPtr revIDLastSave="0" documentId="13_ncr:1_{6DBE577A-0427-4901-90B6-38FBB40E0B9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apport" sheetId="1" r:id="rId1"/>
    <sheet name="Export Comptable_1" sheetId="2" r:id="rId2"/>
    <sheet name="Rapport_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1" i="1" l="1"/>
  <c r="R21" i="1"/>
  <c r="Q21" i="1"/>
  <c r="P21" i="1"/>
  <c r="O21" i="1"/>
  <c r="N21" i="1"/>
  <c r="M21" i="1"/>
  <c r="L21" i="1"/>
  <c r="K21" i="1"/>
  <c r="J21" i="1"/>
  <c r="I21" i="1"/>
  <c r="H21" i="1"/>
</calcChain>
</file>

<file path=xl/sharedStrings.xml><?xml version="1.0" encoding="utf-8"?>
<sst xmlns="http://schemas.openxmlformats.org/spreadsheetml/2006/main" count="560" uniqueCount="185">
  <si>
    <t>Référence</t>
  </si>
  <si>
    <t>Date</t>
  </si>
  <si>
    <t>Nom de la dépense</t>
  </si>
  <si>
    <t>Catégorie</t>
  </si>
  <si>
    <t>Compte Comptable</t>
  </si>
  <si>
    <t>Compte TVA</t>
  </si>
  <si>
    <t>Distance Totale (Km)</t>
  </si>
  <si>
    <t>À rembourser (EUR)</t>
  </si>
  <si>
    <t>TTC (EUR)</t>
  </si>
  <si>
    <t>HT (EUR)</t>
  </si>
  <si>
    <t>TVA récupérable (EUR)</t>
  </si>
  <si>
    <t>Devise de la dépense</t>
  </si>
  <si>
    <t>TTC</t>
  </si>
  <si>
    <t>HT</t>
  </si>
  <si>
    <t>TVA 1 - Taux</t>
  </si>
  <si>
    <t>TVA 1 - Valeur</t>
  </si>
  <si>
    <t>TVA 1 - Compte</t>
  </si>
  <si>
    <t>Total TVA</t>
  </si>
  <si>
    <t>Pourboire</t>
  </si>
  <si>
    <t>Unités</t>
  </si>
  <si>
    <t>Facturable au client</t>
  </si>
  <si>
    <t>Moyen de paiement</t>
  </si>
  <si>
    <t>Nom du marchand</t>
  </si>
  <si>
    <t>Adresse du marchand</t>
  </si>
  <si>
    <t>Code TVA du marchand</t>
  </si>
  <si>
    <t>Numéro de la facture</t>
  </si>
  <si>
    <t>Description de la dépense</t>
  </si>
  <si>
    <t>Collaborateurs</t>
  </si>
  <si>
    <t>Invités externes</t>
  </si>
  <si>
    <t>Id note (Court)</t>
  </si>
  <si>
    <t>Note</t>
  </si>
  <si>
    <t>État</t>
  </si>
  <si>
    <t>Description de la note</t>
  </si>
  <si>
    <t>Utilisateur</t>
  </si>
  <si>
    <t>A2</t>
  </si>
  <si>
    <t>A</t>
  </si>
  <si>
    <t>Société</t>
  </si>
  <si>
    <t>Société (Référence)</t>
  </si>
  <si>
    <t>Client</t>
  </si>
  <si>
    <t>Client (Référence)</t>
  </si>
  <si>
    <t>B</t>
  </si>
  <si>
    <t>Pays de la dépense</t>
  </si>
  <si>
    <t>Cadenas</t>
  </si>
  <si>
    <t>Bureau Maroc</t>
  </si>
  <si>
    <t/>
  </si>
  <si>
    <t>13212</t>
  </si>
  <si>
    <t>Diner Bougival</t>
  </si>
  <si>
    <t>Restauration</t>
  </si>
  <si>
    <t>625300</t>
  </si>
  <si>
    <t>445660</t>
  </si>
  <si>
    <t>MAD</t>
  </si>
  <si>
    <t>5.50%</t>
  </si>
  <si>
    <t>6.68</t>
  </si>
  <si>
    <t>Oui</t>
  </si>
  <si>
    <t>Carte</t>
  </si>
  <si>
    <t>Ryned Burger</t>
  </si>
  <si>
    <t>14 quai Georges Clémenceau, Bougival, 78380, France</t>
  </si>
  <si>
    <t>740</t>
  </si>
  <si>
    <t>AG_Déplacement Viroflay 02/04/2026</t>
  </si>
  <si>
    <t>Approuvée</t>
  </si>
  <si>
    <t>Amine Gatou Déplacement Savencia France Viroflay le 02/04/2026</t>
  </si>
  <si>
    <t>ADVENTPLUS AFRICA</t>
  </si>
  <si>
    <t>A113407</t>
  </si>
  <si>
    <t>CFL_BU France</t>
  </si>
  <si>
    <t>France</t>
  </si>
  <si>
    <t>Ouvert</t>
  </si>
  <si>
    <t>13216</t>
  </si>
  <si>
    <t>Gmail - Your Wednesday ride with Captain Abdelilla</t>
  </si>
  <si>
    <t>Taxi</t>
  </si>
  <si>
    <t>625100</t>
  </si>
  <si>
    <t>Careem</t>
  </si>
  <si>
    <t>Casablanca, Maroc</t>
  </si>
  <si>
    <t>1ad367b8</t>
  </si>
  <si>
    <t>Maroc</t>
  </si>
  <si>
    <t>13210</t>
  </si>
  <si>
    <t>Repas Aeroport Med V Casablanca</t>
  </si>
  <si>
    <t>Mc Donalds</t>
  </si>
  <si>
    <t>Aéroport Med V, Maroc</t>
  </si>
  <si>
    <t>CSE 40-</t>
  </si>
  <si>
    <t>13214</t>
  </si>
  <si>
    <t>Eau Aeroport MED V</t>
  </si>
  <si>
    <t>Eau</t>
  </si>
  <si>
    <t>602100</t>
  </si>
  <si>
    <t>Espèces</t>
  </si>
  <si>
    <t>Casa Cllection</t>
  </si>
  <si>
    <t>CASABLANCA, Maroc</t>
  </si>
  <si>
    <t>04407</t>
  </si>
  <si>
    <t>13206</t>
  </si>
  <si>
    <t>Vol Aller retour</t>
  </si>
  <si>
    <t>Avion</t>
  </si>
  <si>
    <t>95.40%</t>
  </si>
  <si>
    <t>2329.00</t>
  </si>
  <si>
    <t>Royal Air Maroc</t>
  </si>
  <si>
    <t>147-2426610151</t>
  </si>
  <si>
    <t>13207</t>
  </si>
  <si>
    <t>Taxi : Orly -&gt; Bougival</t>
  </si>
  <si>
    <t>10.00%</t>
  </si>
  <si>
    <t>42.32</t>
  </si>
  <si>
    <t>Bolt</t>
  </si>
  <si>
    <t>Vana-Louna tn 15, 10134, Estonie, Tallinn, France</t>
  </si>
  <si>
    <t>EE102090374</t>
  </si>
  <si>
    <t>1139469-FR1126-11051</t>
  </si>
  <si>
    <t>13209</t>
  </si>
  <si>
    <t>Hotel Bougival</t>
  </si>
  <si>
    <t>Hébergement</t>
  </si>
  <si>
    <t>173.84</t>
  </si>
  <si>
    <t>Double Tree Paris Bougival</t>
  </si>
  <si>
    <t>12 rue Yvan Tourgueneff, Bougival, 78380, France</t>
  </si>
  <si>
    <t>FR3090823506</t>
  </si>
  <si>
    <t>111584</t>
  </si>
  <si>
    <t>13213</t>
  </si>
  <si>
    <t>Uber To Savencia</t>
  </si>
  <si>
    <t>Uber</t>
  </si>
  <si>
    <t>Paris, France</t>
  </si>
  <si>
    <t>13215</t>
  </si>
  <si>
    <t>Gmail - Application Bonjour RATP Votre justificati</t>
  </si>
  <si>
    <t>Transport</t>
  </si>
  <si>
    <t>7.09</t>
  </si>
  <si>
    <t>Navigo Île-de-france Mobilités</t>
  </si>
  <si>
    <t>Île-de-France, France</t>
  </si>
  <si>
    <t>1184439826</t>
  </si>
  <si>
    <t>13211</t>
  </si>
  <si>
    <t>Repas Orly</t>
  </si>
  <si>
    <t>7.90</t>
  </si>
  <si>
    <t>Etep Operations Snc</t>
  </si>
  <si>
    <t>AEROPORT 4F AEROGARE (FR), ORLY, 94390, France</t>
  </si>
  <si>
    <t>FR46979864006</t>
  </si>
  <si>
    <t>159</t>
  </si>
  <si>
    <t>13753</t>
  </si>
  <si>
    <t>ESIM italy</t>
  </si>
  <si>
    <t>Internet</t>
  </si>
  <si>
    <t>626100</t>
  </si>
  <si>
    <t>Orbit Mobile Limited</t>
  </si>
  <si>
    <t>1378-3786</t>
  </si>
  <si>
    <t>€ 8.78 	 = 96.71 DH 	 = $10.50</t>
  </si>
  <si>
    <t>768</t>
  </si>
  <si>
    <t>AG_Déplacement Valrhona Italie - Milan</t>
  </si>
  <si>
    <t>AG_Déplacement Valrhona Italie - Milan  du 05/05/2026 au 10/05/2026</t>
  </si>
  <si>
    <t>A113408</t>
  </si>
  <si>
    <t>CFL_BU EUROP S</t>
  </si>
  <si>
    <t>13755</t>
  </si>
  <si>
    <t>Billet RAM Italie</t>
  </si>
  <si>
    <t>10.20%</t>
  </si>
  <si>
    <t>669.00</t>
  </si>
  <si>
    <t>147-2426928878</t>
  </si>
  <si>
    <t>13754</t>
  </si>
  <si>
    <t>Paul Aeroport MED V</t>
  </si>
  <si>
    <t>Paul</t>
  </si>
  <si>
    <t>BP N 160, AEROPORT MOHAMED V, Maroc</t>
  </si>
  <si>
    <t>00154471800009</t>
  </si>
  <si>
    <t>V2655573111A00567763</t>
  </si>
  <si>
    <t>13756</t>
  </si>
  <si>
    <t>Aller - TRENORD Ricevuta Pagamento</t>
  </si>
  <si>
    <t>Trenord</t>
  </si>
  <si>
    <t>Piazza Cadorna 14, Milano, 20123, Italie</t>
  </si>
  <si>
    <t>06705490966</t>
  </si>
  <si>
    <t>Italie</t>
  </si>
  <si>
    <t>13757</t>
  </si>
  <si>
    <t>Lidl Italia</t>
  </si>
  <si>
    <t>Lidl</t>
  </si>
  <si>
    <t>'-via Grassi, Milano, 20157, Italie</t>
  </si>
  <si>
    <t>PI02275030233</t>
  </si>
  <si>
    <t>2597-0613</t>
  </si>
  <si>
    <t>13758</t>
  </si>
  <si>
    <t>Vocco Hotel</t>
  </si>
  <si>
    <t>354.64</t>
  </si>
  <si>
    <t>Voco Milan-fiere</t>
  </si>
  <si>
    <t>VIA GIORGIO STEPHENSON, 55, MILANO, 20157, Italie</t>
  </si>
  <si>
    <t>03978470270</t>
  </si>
  <si>
    <t>1732-0015</t>
  </si>
  <si>
    <t>13759</t>
  </si>
  <si>
    <t>Uber to train</t>
  </si>
  <si>
    <t>Viale Carlo Espinasse 30, MI, ITA, Milan, 20156, Italie</t>
  </si>
  <si>
    <t>13760</t>
  </si>
  <si>
    <t>Retour -  TRENORD Ricevuta Pagamento</t>
  </si>
  <si>
    <t>Tremord</t>
  </si>
  <si>
    <t>5450</t>
  </si>
  <si>
    <t>13761</t>
  </si>
  <si>
    <t>AREAS FOOD SERVICES.S.r</t>
  </si>
  <si>
    <t>10.42</t>
  </si>
  <si>
    <t>Areas Food Services</t>
  </si>
  <si>
    <t>Pizzaflor Satellite Imb B T1 (058-3) Aeroporto Malpensa T1 - (VA), Ferno, 21010, Italie</t>
  </si>
  <si>
    <t>06349790961</t>
  </si>
  <si>
    <t>1939-0242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</si>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</sst>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</font>
    <font>
      <u/>
      <sz val="10"/>
      <color rgb="FF0563C1"/>
      <name val="Calibri"/>
    </font>
    <font>
      <b/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right"/>
    </xf>
    <xf numFmtId="4" fontId="0" fillId="0" borderId="0" xfId="0" applyNumberFormat="1"/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ensya" displayName="Expensya_1" ref="A1:AQ20">
  <autoFilter ref="A1:AQ20" xr:uid="{00000000-0009-0000-0100-000001000000}"/>
  <tableColumns count="43">
    <tableColumn id="1" xr3:uid="{00000000-0010-0000-0000-000001000000}" name="Référence"/>
    <tableColumn id="2" xr3:uid="{00000000-0010-0000-0000-000002000000}" name="Date"/>
    <tableColumn id="3" xr3:uid="{00000000-0010-0000-0000-000003000000}" name="Nom de la dépense"/>
    <tableColumn id="4" xr3:uid="{00000000-0010-0000-0000-000004000000}" name="Catégorie"/>
    <tableColumn id="5" xr3:uid="{00000000-0010-0000-0000-000005000000}" name="Compte Comptable"/>
    <tableColumn id="6" xr3:uid="{00000000-0010-0000-0000-000006000000}" name="Compte TVA"/>
    <tableColumn id="7" xr3:uid="{00000000-0010-0000-0000-000007000000}" name="Distance Totale (Km)"/>
    <tableColumn id="8" xr3:uid="{00000000-0010-0000-0000-000008000000}" name="À rembourser (EUR)"/>
    <tableColumn id="9" xr3:uid="{00000000-0010-0000-0000-000009000000}" name="TTC (EUR)"/>
    <tableColumn id="10" xr3:uid="{00000000-0010-0000-0000-00000A000000}" name="HT (EUR)"/>
    <tableColumn id="11" xr3:uid="{00000000-0010-0000-0000-00000B000000}" name="TVA récupérable (EUR)"/>
    <tableColumn id="12" xr3:uid="{00000000-0010-0000-0000-00000C000000}" name="Devise de la dépense"/>
    <tableColumn id="13" xr3:uid="{00000000-0010-0000-0000-00000D000000}" name="TTC"/>
    <tableColumn id="14" xr3:uid="{00000000-0010-0000-0000-00000E000000}" name="HT"/>
    <tableColumn id="15" xr3:uid="{00000000-0010-0000-0000-00000F000000}" name="TVA 1 - Taux"/>
    <tableColumn id="16" xr3:uid="{00000000-0010-0000-0000-000010000000}" name="TVA 1 - Valeur"/>
    <tableColumn id="17" xr3:uid="{00000000-0010-0000-0000-000011000000}" name="TVA 1 - Compte"/>
    <tableColumn id="18" xr3:uid="{00000000-0010-0000-0000-000012000000}" name="Total TVA"/>
    <tableColumn id="19" xr3:uid="{00000000-0010-0000-0000-000013000000}" name="Pourboire"/>
    <tableColumn id="20" xr3:uid="{00000000-0010-0000-0000-000014000000}" name="Unités"/>
    <tableColumn id="21" xr3:uid="{00000000-0010-0000-0000-000015000000}" name="Facturable au client"/>
    <tableColumn id="22" xr3:uid="{00000000-0010-0000-0000-000016000000}" name="Moyen de paiement"/>
    <tableColumn id="23" xr3:uid="{00000000-0010-0000-0000-000017000000}" name="Nom du marchand"/>
    <tableColumn id="24" xr3:uid="{00000000-0010-0000-0000-000018000000}" name="Adresse du marchand"/>
    <tableColumn id="25" xr3:uid="{00000000-0010-0000-0000-000019000000}" name="Code TVA du marchand"/>
    <tableColumn id="26" xr3:uid="{00000000-0010-0000-0000-00001A000000}" name="Numéro de la facture"/>
    <tableColumn id="27" xr3:uid="{00000000-0010-0000-0000-00001B000000}" name="Description de la dépense"/>
    <tableColumn id="28" xr3:uid="{00000000-0010-0000-0000-00001C000000}" name="Collaborateurs"/>
    <tableColumn id="29" xr3:uid="{00000000-0010-0000-0000-00001D000000}" name="Invités externes"/>
    <tableColumn id="30" xr3:uid="{00000000-0010-0000-0000-00001E000000}" name="Id note (Court)"/>
    <tableColumn id="31" xr3:uid="{00000000-0010-0000-0000-00001F000000}" name="Note"/>
    <tableColumn id="32" xr3:uid="{00000000-0010-0000-0000-000020000000}" name="État"/>
    <tableColumn id="33" xr3:uid="{00000000-0010-0000-0000-000021000000}" name="Description de la note"/>
    <tableColumn id="34" xr3:uid="{00000000-0010-0000-0000-000022000000}" name="Utilisateur"/>
    <tableColumn id="35" xr3:uid="{00000000-0010-0000-0000-000023000000}" name="A2"/>
    <tableColumn id="36" xr3:uid="{00000000-0010-0000-0000-000024000000}" name="A"/>
    <tableColumn id="37" xr3:uid="{00000000-0010-0000-0000-000025000000}" name="Société"/>
    <tableColumn id="38" xr3:uid="{00000000-0010-0000-0000-000026000000}" name="Société (Référence)"/>
    <tableColumn id="39" xr3:uid="{00000000-0010-0000-0000-000027000000}" name="Client"/>
    <tableColumn id="40" xr3:uid="{00000000-0010-0000-0000-000028000000}" name="Client (Référence)"/>
    <tableColumn id="41" xr3:uid="{00000000-0010-0000-0000-000029000000}" name="B"/>
    <tableColumn id="42" xr3:uid="{00000000-0010-0000-0000-00002A000000}" name="Pays de la dépense"/>
    <tableColumn id="43" xr3:uid="{00000000-0010-0000-0000-00002B000000}" name="Cadenas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pensya" displayName="Expensya_2" ref="A1:E5">
  <autoFilter ref="A1:E5" xr:uid="{00000000-0009-0000-0100-000002000000}"/>
  <tableColumns count="5">
    <tableColumn id="1" xr3:uid="{00000000-0010-0000-0100-000001000000}" name="Compte Comptable"/>
    <tableColumn id="2" xr3:uid="{00000000-0010-0000-0100-000002000000}" name="TTC (EUR)"/>
    <tableColumn id="3" xr3:uid="{00000000-0010-0000-0100-000003000000}" name="TVA récupérable (EUR)"/>
    <tableColumn id="4" xr3:uid="{00000000-0010-0000-0100-000004000000}" name="HT (EUR)"/>
    <tableColumn id="5" xr3:uid="{00000000-0010-0000-0100-000005000000}" name="À rembourser (EUR)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xpensya" displayName="Expensya_3" ref="A1:C2">
  <autoFilter ref="A1:C2" xr:uid="{00000000-0009-0000-0100-000003000000}"/>
  <tableColumns count="3">
    <tableColumn id="1" xr3:uid="{00000000-0010-0000-0200-000001000000}" name="Utilisateur"/>
    <tableColumn id="2" xr3:uid="{00000000-0010-0000-0200-000002000000}" name="A2"/>
    <tableColumn id="3" xr3:uid="{00000000-0010-0000-0200-000003000000}" name="À rembourser (EUR)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expensya.com/Portal/" TargetMode="External"/><Relationship Id="rId13" Type="http://schemas.openxmlformats.org/officeDocument/2006/relationships/hyperlink" Target="https://app.expensya.com/Portal/" TargetMode="External"/><Relationship Id="rId18" Type="http://schemas.openxmlformats.org/officeDocument/2006/relationships/hyperlink" Target="https://app.expensya.com/Portal/" TargetMode="External"/><Relationship Id="rId3" Type="http://schemas.openxmlformats.org/officeDocument/2006/relationships/hyperlink" Target="https://app.expensya.com/Portal/" TargetMode="External"/><Relationship Id="rId7" Type="http://schemas.openxmlformats.org/officeDocument/2006/relationships/hyperlink" Target="https://app.expensya.com/Portal/" TargetMode="External"/><Relationship Id="rId12" Type="http://schemas.openxmlformats.org/officeDocument/2006/relationships/hyperlink" Target="https://app.expensya.com/Portal/" TargetMode="External"/><Relationship Id="rId17" Type="http://schemas.openxmlformats.org/officeDocument/2006/relationships/hyperlink" Target="https://app.expensya.com/Portal/" TargetMode="External"/><Relationship Id="rId2" Type="http://schemas.openxmlformats.org/officeDocument/2006/relationships/hyperlink" Target="https://app.expensya.com/Portal/" TargetMode="External"/><Relationship Id="rId16" Type="http://schemas.openxmlformats.org/officeDocument/2006/relationships/hyperlink" Target="https://app.expensya.com/Portal/" TargetMode="External"/><Relationship Id="rId20" Type="http://schemas.openxmlformats.org/officeDocument/2006/relationships/table" Target="../tables/table1.xml"/><Relationship Id="rId1" Type="http://schemas.openxmlformats.org/officeDocument/2006/relationships/hyperlink" Target="https://app.expensya.com/Portal/" TargetMode="External"/><Relationship Id="rId6" Type="http://schemas.openxmlformats.org/officeDocument/2006/relationships/hyperlink" Target="https://app.expensya.com/Portal/" TargetMode="External"/><Relationship Id="rId11" Type="http://schemas.openxmlformats.org/officeDocument/2006/relationships/hyperlink" Target="https://app.expensya.com/Portal/" TargetMode="External"/><Relationship Id="rId5" Type="http://schemas.openxmlformats.org/officeDocument/2006/relationships/hyperlink" Target="https://app.expensya.com/Portal/" TargetMode="External"/><Relationship Id="rId15" Type="http://schemas.openxmlformats.org/officeDocument/2006/relationships/hyperlink" Target="https://app.expensya.com/Portal/" TargetMode="External"/><Relationship Id="rId10" Type="http://schemas.openxmlformats.org/officeDocument/2006/relationships/hyperlink" Target="https://app.expensya.com/Portal/" TargetMode="External"/><Relationship Id="rId19" Type="http://schemas.openxmlformats.org/officeDocument/2006/relationships/hyperlink" Target="https://app.expensya.com/Portal/" TargetMode="External"/><Relationship Id="rId4" Type="http://schemas.openxmlformats.org/officeDocument/2006/relationships/hyperlink" Target="https://app.expensya.com/Portal/" TargetMode="External"/><Relationship Id="rId9" Type="http://schemas.openxmlformats.org/officeDocument/2006/relationships/hyperlink" Target="https://app.expensya.com/Portal/" TargetMode="External"/><Relationship Id="rId14" Type="http://schemas.openxmlformats.org/officeDocument/2006/relationships/hyperlink" Target="https://app.expensya.com/Porta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8"/>
  <sheetViews>
    <sheetView tabSelected="1" workbookViewId="0">
      <selection activeCell="E24" sqref="E24:F24"/>
    </sheetView>
  </sheetViews>
  <sheetFormatPr baseColWidth="10" defaultRowHeight="14.4" x14ac:dyDescent="0.3"/>
  <cols>
    <col min="1" max="1" width="16" customWidth="1"/>
    <col min="2" max="2" width="30" customWidth="1"/>
    <col min="3" max="9" width="16" customWidth="1"/>
    <col min="10" max="16" width="11" customWidth="1"/>
    <col min="17" max="41" width="16" customWidth="1"/>
    <col min="42" max="43" width="40" customWidth="1"/>
  </cols>
  <sheetData>
    <row r="1" spans="1:43" ht="3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</row>
    <row r="2" spans="1:43" ht="13.8" x14ac:dyDescent="0.3">
      <c r="A2" t="s">
        <v>45</v>
      </c>
      <c r="B2" s="1">
        <v>46113</v>
      </c>
      <c r="C2" s="4" t="s">
        <v>46</v>
      </c>
      <c r="D2" t="s">
        <v>47</v>
      </c>
      <c r="E2" t="s">
        <v>48</v>
      </c>
      <c r="F2" t="s">
        <v>49</v>
      </c>
      <c r="H2" s="2">
        <v>11.83</v>
      </c>
      <c r="I2" s="2">
        <v>11.83</v>
      </c>
      <c r="J2" s="2">
        <v>11.21</v>
      </c>
      <c r="K2" s="2">
        <v>0.62</v>
      </c>
      <c r="L2" t="s">
        <v>50</v>
      </c>
      <c r="M2" s="2">
        <v>128.11000000000001</v>
      </c>
      <c r="N2" s="2">
        <v>121.43</v>
      </c>
      <c r="O2" t="s">
        <v>51</v>
      </c>
      <c r="P2" t="s">
        <v>52</v>
      </c>
      <c r="Q2" t="s">
        <v>49</v>
      </c>
      <c r="R2" s="2">
        <v>6.68</v>
      </c>
      <c r="S2" s="2">
        <v>0</v>
      </c>
      <c r="T2" s="2">
        <v>1</v>
      </c>
      <c r="U2" t="s">
        <v>53</v>
      </c>
      <c r="V2" t="s">
        <v>54</v>
      </c>
      <c r="W2" t="s">
        <v>55</v>
      </c>
      <c r="X2" t="s">
        <v>56</v>
      </c>
      <c r="Y2" t="s">
        <v>44</v>
      </c>
      <c r="Z2" t="s">
        <v>44</v>
      </c>
      <c r="AA2" t="s">
        <v>44</v>
      </c>
      <c r="AB2" t="s">
        <v>44</v>
      </c>
      <c r="AC2" t="s">
        <v>44</v>
      </c>
      <c r="AD2" t="s">
        <v>57</v>
      </c>
      <c r="AE2" t="s">
        <v>58</v>
      </c>
      <c r="AF2" t="s">
        <v>59</v>
      </c>
      <c r="AG2" t="s">
        <v>60</v>
      </c>
      <c r="AH2" t="s">
        <v>43</v>
      </c>
      <c r="AI2" t="s">
        <v>61</v>
      </c>
      <c r="AM2" t="s">
        <v>62</v>
      </c>
      <c r="AN2" t="s">
        <v>63</v>
      </c>
      <c r="AP2" t="s">
        <v>64</v>
      </c>
      <c r="AQ2" t="s">
        <v>65</v>
      </c>
    </row>
    <row r="3" spans="1:43" ht="13.8" x14ac:dyDescent="0.3">
      <c r="A3" t="s">
        <v>66</v>
      </c>
      <c r="B3" s="1">
        <v>46113</v>
      </c>
      <c r="C3" s="4" t="s">
        <v>67</v>
      </c>
      <c r="D3" t="s">
        <v>68</v>
      </c>
      <c r="E3" t="s">
        <v>69</v>
      </c>
      <c r="F3" t="s">
        <v>49</v>
      </c>
      <c r="H3" s="2">
        <v>27.74</v>
      </c>
      <c r="I3" s="2">
        <v>27.74</v>
      </c>
      <c r="J3" s="2">
        <v>27.74</v>
      </c>
      <c r="K3" s="2">
        <v>0</v>
      </c>
      <c r="L3" t="s">
        <v>50</v>
      </c>
      <c r="M3" s="2">
        <v>309</v>
      </c>
      <c r="N3" s="2">
        <v>309</v>
      </c>
      <c r="S3" s="2">
        <v>0</v>
      </c>
      <c r="T3" s="2">
        <v>1</v>
      </c>
      <c r="U3" t="s">
        <v>53</v>
      </c>
      <c r="V3" t="s">
        <v>54</v>
      </c>
      <c r="W3" t="s">
        <v>70</v>
      </c>
      <c r="X3" t="s">
        <v>71</v>
      </c>
      <c r="Y3" t="s">
        <v>44</v>
      </c>
      <c r="Z3" t="s">
        <v>72</v>
      </c>
      <c r="AA3" t="s">
        <v>44</v>
      </c>
      <c r="AB3" t="s">
        <v>44</v>
      </c>
      <c r="AC3" t="s">
        <v>44</v>
      </c>
      <c r="AD3" t="s">
        <v>57</v>
      </c>
      <c r="AE3" t="s">
        <v>58</v>
      </c>
      <c r="AF3" t="s">
        <v>59</v>
      </c>
      <c r="AG3" t="s">
        <v>60</v>
      </c>
      <c r="AH3" t="s">
        <v>43</v>
      </c>
      <c r="AI3" t="s">
        <v>61</v>
      </c>
      <c r="AM3" t="s">
        <v>62</v>
      </c>
      <c r="AN3" t="s">
        <v>63</v>
      </c>
      <c r="AP3" t="s">
        <v>73</v>
      </c>
      <c r="AQ3" t="s">
        <v>65</v>
      </c>
    </row>
    <row r="4" spans="1:43" ht="13.8" x14ac:dyDescent="0.3">
      <c r="A4" t="s">
        <v>74</v>
      </c>
      <c r="B4" s="1">
        <v>46113</v>
      </c>
      <c r="C4" s="4" t="s">
        <v>75</v>
      </c>
      <c r="D4" t="s">
        <v>47</v>
      </c>
      <c r="E4" t="s">
        <v>48</v>
      </c>
      <c r="F4" t="s">
        <v>49</v>
      </c>
      <c r="H4" s="2">
        <v>7.72</v>
      </c>
      <c r="I4" s="2">
        <v>7.72</v>
      </c>
      <c r="J4" s="2">
        <v>7.72</v>
      </c>
      <c r="K4" s="2">
        <v>0</v>
      </c>
      <c r="L4" t="s">
        <v>50</v>
      </c>
      <c r="M4" s="2">
        <v>86</v>
      </c>
      <c r="N4" s="2">
        <v>86</v>
      </c>
      <c r="S4" s="2">
        <v>0</v>
      </c>
      <c r="T4" s="2">
        <v>1</v>
      </c>
      <c r="U4" t="s">
        <v>53</v>
      </c>
      <c r="V4" t="s">
        <v>54</v>
      </c>
      <c r="W4" t="s">
        <v>76</v>
      </c>
      <c r="X4" t="s">
        <v>77</v>
      </c>
      <c r="Y4" t="s">
        <v>44</v>
      </c>
      <c r="Z4" t="s">
        <v>78</v>
      </c>
      <c r="AA4" t="s">
        <v>44</v>
      </c>
      <c r="AB4" t="s">
        <v>44</v>
      </c>
      <c r="AC4" t="s">
        <v>44</v>
      </c>
      <c r="AD4" t="s">
        <v>57</v>
      </c>
      <c r="AE4" t="s">
        <v>58</v>
      </c>
      <c r="AF4" t="s">
        <v>59</v>
      </c>
      <c r="AG4" t="s">
        <v>60</v>
      </c>
      <c r="AH4" t="s">
        <v>43</v>
      </c>
      <c r="AI4" t="s">
        <v>61</v>
      </c>
      <c r="AM4" t="s">
        <v>62</v>
      </c>
      <c r="AN4" t="s">
        <v>63</v>
      </c>
      <c r="AP4" t="s">
        <v>73</v>
      </c>
      <c r="AQ4" t="s">
        <v>65</v>
      </c>
    </row>
    <row r="5" spans="1:43" ht="13.8" x14ac:dyDescent="0.3">
      <c r="A5" t="s">
        <v>79</v>
      </c>
      <c r="B5" s="1">
        <v>46113</v>
      </c>
      <c r="C5" s="4" t="s">
        <v>80</v>
      </c>
      <c r="D5" t="s">
        <v>81</v>
      </c>
      <c r="E5" t="s">
        <v>82</v>
      </c>
      <c r="F5" t="s">
        <v>49</v>
      </c>
      <c r="H5" s="2">
        <v>1.5</v>
      </c>
      <c r="I5" s="2">
        <v>1.5</v>
      </c>
      <c r="J5" s="2">
        <v>1.5</v>
      </c>
      <c r="K5" s="2">
        <v>0</v>
      </c>
      <c r="L5" t="s">
        <v>50</v>
      </c>
      <c r="M5" s="2">
        <v>16.71</v>
      </c>
      <c r="N5" s="2">
        <v>16.71</v>
      </c>
      <c r="S5" s="2">
        <v>0</v>
      </c>
      <c r="T5" s="2">
        <v>1</v>
      </c>
      <c r="U5" t="s">
        <v>53</v>
      </c>
      <c r="V5" t="s">
        <v>83</v>
      </c>
      <c r="W5" t="s">
        <v>84</v>
      </c>
      <c r="X5" t="s">
        <v>85</v>
      </c>
      <c r="Y5" t="s">
        <v>44</v>
      </c>
      <c r="Z5" t="s">
        <v>86</v>
      </c>
      <c r="AA5" t="s">
        <v>44</v>
      </c>
      <c r="AB5" t="s">
        <v>44</v>
      </c>
      <c r="AC5" t="s">
        <v>44</v>
      </c>
      <c r="AD5" t="s">
        <v>57</v>
      </c>
      <c r="AE5" t="s">
        <v>58</v>
      </c>
      <c r="AF5" t="s">
        <v>59</v>
      </c>
      <c r="AG5" t="s">
        <v>60</v>
      </c>
      <c r="AH5" t="s">
        <v>43</v>
      </c>
      <c r="AI5" t="s">
        <v>61</v>
      </c>
      <c r="AM5" t="s">
        <v>62</v>
      </c>
      <c r="AN5" t="s">
        <v>63</v>
      </c>
      <c r="AP5" t="s">
        <v>73</v>
      </c>
      <c r="AQ5" t="s">
        <v>65</v>
      </c>
    </row>
    <row r="6" spans="1:43" ht="13.8" x14ac:dyDescent="0.3">
      <c r="A6" t="s">
        <v>87</v>
      </c>
      <c r="B6" s="1">
        <v>46113</v>
      </c>
      <c r="C6" s="4" t="s">
        <v>88</v>
      </c>
      <c r="D6" t="s">
        <v>89</v>
      </c>
      <c r="E6" t="s">
        <v>69</v>
      </c>
      <c r="F6" t="s">
        <v>49</v>
      </c>
      <c r="H6" s="2">
        <v>0</v>
      </c>
      <c r="I6" s="2">
        <v>413.69</v>
      </c>
      <c r="J6" s="2">
        <v>413.69</v>
      </c>
      <c r="K6" s="2">
        <v>0</v>
      </c>
      <c r="L6" t="s">
        <v>50</v>
      </c>
      <c r="M6" s="2">
        <v>4770</v>
      </c>
      <c r="N6" s="2">
        <v>2441</v>
      </c>
      <c r="O6" t="s">
        <v>90</v>
      </c>
      <c r="P6" t="s">
        <v>91</v>
      </c>
      <c r="Q6" t="s">
        <v>49</v>
      </c>
      <c r="R6" s="2">
        <v>2329</v>
      </c>
      <c r="S6" s="2">
        <v>0</v>
      </c>
      <c r="T6" s="2">
        <v>1</v>
      </c>
      <c r="U6" t="s">
        <v>53</v>
      </c>
      <c r="V6" t="s">
        <v>54</v>
      </c>
      <c r="W6" t="s">
        <v>92</v>
      </c>
      <c r="X6" t="s">
        <v>71</v>
      </c>
      <c r="Y6" t="s">
        <v>44</v>
      </c>
      <c r="Z6" t="s">
        <v>93</v>
      </c>
      <c r="AA6" t="s">
        <v>44</v>
      </c>
      <c r="AB6" t="s">
        <v>44</v>
      </c>
      <c r="AC6" t="s">
        <v>44</v>
      </c>
      <c r="AD6" t="s">
        <v>57</v>
      </c>
      <c r="AE6" t="s">
        <v>58</v>
      </c>
      <c r="AF6" t="s">
        <v>59</v>
      </c>
      <c r="AG6" t="s">
        <v>60</v>
      </c>
      <c r="AH6" t="s">
        <v>43</v>
      </c>
      <c r="AI6" t="s">
        <v>61</v>
      </c>
      <c r="AM6" t="s">
        <v>62</v>
      </c>
      <c r="AN6" t="s">
        <v>63</v>
      </c>
      <c r="AP6" t="s">
        <v>73</v>
      </c>
      <c r="AQ6" t="s">
        <v>65</v>
      </c>
    </row>
    <row r="7" spans="1:43" ht="13.8" x14ac:dyDescent="0.3">
      <c r="A7" t="s">
        <v>94</v>
      </c>
      <c r="B7" s="1">
        <v>46113</v>
      </c>
      <c r="C7" s="4" t="s">
        <v>95</v>
      </c>
      <c r="D7" t="s">
        <v>68</v>
      </c>
      <c r="E7" t="s">
        <v>69</v>
      </c>
      <c r="F7" t="s">
        <v>49</v>
      </c>
      <c r="H7" s="2">
        <v>43.1</v>
      </c>
      <c r="I7" s="2">
        <v>43.1</v>
      </c>
      <c r="J7" s="2">
        <v>43.1</v>
      </c>
      <c r="K7" s="2">
        <v>0</v>
      </c>
      <c r="L7" t="s">
        <v>50</v>
      </c>
      <c r="M7" s="2">
        <v>465.48</v>
      </c>
      <c r="N7" s="2">
        <v>423.16</v>
      </c>
      <c r="O7" t="s">
        <v>96</v>
      </c>
      <c r="P7" t="s">
        <v>97</v>
      </c>
      <c r="Q7" t="s">
        <v>49</v>
      </c>
      <c r="R7" s="2">
        <v>42.32</v>
      </c>
      <c r="S7" s="2">
        <v>0</v>
      </c>
      <c r="T7" s="2">
        <v>1</v>
      </c>
      <c r="U7" t="s">
        <v>53</v>
      </c>
      <c r="V7" t="s">
        <v>54</v>
      </c>
      <c r="W7" t="s">
        <v>98</v>
      </c>
      <c r="X7" t="s">
        <v>99</v>
      </c>
      <c r="Y7" t="s">
        <v>100</v>
      </c>
      <c r="Z7" t="s">
        <v>101</v>
      </c>
      <c r="AA7" t="s">
        <v>44</v>
      </c>
      <c r="AB7" t="s">
        <v>44</v>
      </c>
      <c r="AC7" t="s">
        <v>44</v>
      </c>
      <c r="AD7" t="s">
        <v>57</v>
      </c>
      <c r="AE7" t="s">
        <v>58</v>
      </c>
      <c r="AF7" t="s">
        <v>59</v>
      </c>
      <c r="AG7" t="s">
        <v>60</v>
      </c>
      <c r="AH7" t="s">
        <v>43</v>
      </c>
      <c r="AI7" t="s">
        <v>61</v>
      </c>
      <c r="AM7" t="s">
        <v>62</v>
      </c>
      <c r="AN7" t="s">
        <v>63</v>
      </c>
      <c r="AP7" t="s">
        <v>64</v>
      </c>
      <c r="AQ7" t="s">
        <v>65</v>
      </c>
    </row>
    <row r="8" spans="1:43" ht="13.8" x14ac:dyDescent="0.3">
      <c r="A8" t="s">
        <v>102</v>
      </c>
      <c r="B8" s="1">
        <v>46114</v>
      </c>
      <c r="C8" s="4" t="s">
        <v>103</v>
      </c>
      <c r="D8" t="s">
        <v>104</v>
      </c>
      <c r="E8" t="s">
        <v>69</v>
      </c>
      <c r="F8" t="s">
        <v>49</v>
      </c>
      <c r="H8" s="2">
        <v>171.9</v>
      </c>
      <c r="I8" s="2">
        <v>171.9</v>
      </c>
      <c r="J8" s="2">
        <v>156.27000000000001</v>
      </c>
      <c r="K8" s="2">
        <v>15.63</v>
      </c>
      <c r="L8" t="s">
        <v>50</v>
      </c>
      <c r="M8" s="2">
        <v>1912.21</v>
      </c>
      <c r="N8" s="2">
        <v>1738.37</v>
      </c>
      <c r="O8" t="s">
        <v>96</v>
      </c>
      <c r="P8" t="s">
        <v>105</v>
      </c>
      <c r="Q8" t="s">
        <v>49</v>
      </c>
      <c r="R8" s="2">
        <v>173.84</v>
      </c>
      <c r="S8" s="2">
        <v>0</v>
      </c>
      <c r="T8" s="2">
        <v>1</v>
      </c>
      <c r="U8" t="s">
        <v>53</v>
      </c>
      <c r="V8" t="s">
        <v>54</v>
      </c>
      <c r="W8" t="s">
        <v>106</v>
      </c>
      <c r="X8" t="s">
        <v>107</v>
      </c>
      <c r="Y8" t="s">
        <v>108</v>
      </c>
      <c r="Z8" t="s">
        <v>109</v>
      </c>
      <c r="AA8" t="s">
        <v>44</v>
      </c>
      <c r="AB8" t="s">
        <v>44</v>
      </c>
      <c r="AC8" t="s">
        <v>44</v>
      </c>
      <c r="AD8" t="s">
        <v>57</v>
      </c>
      <c r="AE8" t="s">
        <v>58</v>
      </c>
      <c r="AF8" t="s">
        <v>59</v>
      </c>
      <c r="AG8" t="s">
        <v>60</v>
      </c>
      <c r="AH8" t="s">
        <v>43</v>
      </c>
      <c r="AI8" t="s">
        <v>61</v>
      </c>
      <c r="AM8" t="s">
        <v>62</v>
      </c>
      <c r="AN8" t="s">
        <v>63</v>
      </c>
      <c r="AP8" t="s">
        <v>64</v>
      </c>
      <c r="AQ8" t="s">
        <v>65</v>
      </c>
    </row>
    <row r="9" spans="1:43" ht="13.8" x14ac:dyDescent="0.3">
      <c r="A9" t="s">
        <v>110</v>
      </c>
      <c r="B9" s="1">
        <v>46114</v>
      </c>
      <c r="C9" s="4" t="s">
        <v>111</v>
      </c>
      <c r="D9" t="s">
        <v>68</v>
      </c>
      <c r="E9" t="s">
        <v>69</v>
      </c>
      <c r="F9" t="s">
        <v>49</v>
      </c>
      <c r="H9" s="2">
        <v>42.97</v>
      </c>
      <c r="I9" s="2">
        <v>42.97</v>
      </c>
      <c r="J9" s="2">
        <v>42.97</v>
      </c>
      <c r="K9" s="2">
        <v>0</v>
      </c>
      <c r="L9" t="s">
        <v>50</v>
      </c>
      <c r="M9" s="2">
        <v>478.69</v>
      </c>
      <c r="N9" s="2">
        <v>478.69</v>
      </c>
      <c r="S9" s="2">
        <v>0</v>
      </c>
      <c r="T9" s="2">
        <v>1</v>
      </c>
      <c r="U9" t="s">
        <v>53</v>
      </c>
      <c r="V9" t="s">
        <v>83</v>
      </c>
      <c r="W9" t="s">
        <v>112</v>
      </c>
      <c r="X9" t="s">
        <v>113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57</v>
      </c>
      <c r="AE9" t="s">
        <v>58</v>
      </c>
      <c r="AF9" t="s">
        <v>59</v>
      </c>
      <c r="AG9" t="s">
        <v>60</v>
      </c>
      <c r="AH9" t="s">
        <v>43</v>
      </c>
      <c r="AI9" t="s">
        <v>61</v>
      </c>
      <c r="AM9" t="s">
        <v>62</v>
      </c>
      <c r="AN9" t="s">
        <v>63</v>
      </c>
      <c r="AP9" t="s">
        <v>64</v>
      </c>
      <c r="AQ9" t="s">
        <v>65</v>
      </c>
    </row>
    <row r="10" spans="1:43" ht="13.8" x14ac:dyDescent="0.3">
      <c r="A10" t="s">
        <v>114</v>
      </c>
      <c r="B10" s="1">
        <v>46118</v>
      </c>
      <c r="C10" s="4" t="s">
        <v>115</v>
      </c>
      <c r="D10" t="s">
        <v>116</v>
      </c>
      <c r="E10" t="s">
        <v>69</v>
      </c>
      <c r="F10" t="s">
        <v>49</v>
      </c>
      <c r="H10" s="2">
        <v>7</v>
      </c>
      <c r="I10" s="2">
        <v>7</v>
      </c>
      <c r="J10" s="2">
        <v>7</v>
      </c>
      <c r="K10" s="2">
        <v>0</v>
      </c>
      <c r="L10" t="s">
        <v>50</v>
      </c>
      <c r="M10" s="2">
        <v>77.98</v>
      </c>
      <c r="N10" s="2">
        <v>70.89</v>
      </c>
      <c r="O10" t="s">
        <v>96</v>
      </c>
      <c r="P10" t="s">
        <v>117</v>
      </c>
      <c r="Q10" t="s">
        <v>49</v>
      </c>
      <c r="R10" s="2">
        <v>7.09</v>
      </c>
      <c r="S10" s="2">
        <v>0</v>
      </c>
      <c r="T10" s="2">
        <v>1</v>
      </c>
      <c r="U10" t="s">
        <v>53</v>
      </c>
      <c r="V10" t="s">
        <v>54</v>
      </c>
      <c r="W10" t="s">
        <v>118</v>
      </c>
      <c r="X10" t="s">
        <v>119</v>
      </c>
      <c r="Y10" t="s">
        <v>44</v>
      </c>
      <c r="Z10" t="s">
        <v>120</v>
      </c>
      <c r="AA10" t="s">
        <v>44</v>
      </c>
      <c r="AB10" t="s">
        <v>44</v>
      </c>
      <c r="AC10" t="s">
        <v>44</v>
      </c>
      <c r="AD10" t="s">
        <v>57</v>
      </c>
      <c r="AE10" t="s">
        <v>58</v>
      </c>
      <c r="AF10" t="s">
        <v>59</v>
      </c>
      <c r="AG10" t="s">
        <v>60</v>
      </c>
      <c r="AH10" t="s">
        <v>43</v>
      </c>
      <c r="AI10" t="s">
        <v>61</v>
      </c>
      <c r="AM10" t="s">
        <v>62</v>
      </c>
      <c r="AN10" t="s">
        <v>63</v>
      </c>
      <c r="AP10" t="s">
        <v>64</v>
      </c>
      <c r="AQ10" t="s">
        <v>65</v>
      </c>
    </row>
    <row r="11" spans="1:43" ht="13.8" x14ac:dyDescent="0.3">
      <c r="A11" t="s">
        <v>121</v>
      </c>
      <c r="B11" s="1">
        <v>46118</v>
      </c>
      <c r="C11" s="4" t="s">
        <v>122</v>
      </c>
      <c r="D11" t="s">
        <v>47</v>
      </c>
      <c r="E11" t="s">
        <v>48</v>
      </c>
      <c r="F11" t="s">
        <v>49</v>
      </c>
      <c r="H11" s="2">
        <v>7.8</v>
      </c>
      <c r="I11" s="2">
        <v>7.8</v>
      </c>
      <c r="J11" s="2">
        <v>7.09</v>
      </c>
      <c r="K11" s="2">
        <v>0.71</v>
      </c>
      <c r="L11" t="s">
        <v>50</v>
      </c>
      <c r="M11" s="2">
        <v>86.89</v>
      </c>
      <c r="N11" s="2">
        <v>78.989999999999995</v>
      </c>
      <c r="O11" t="s">
        <v>96</v>
      </c>
      <c r="P11" t="s">
        <v>123</v>
      </c>
      <c r="Q11" t="s">
        <v>49</v>
      </c>
      <c r="R11" s="2">
        <v>7.9</v>
      </c>
      <c r="S11" s="2">
        <v>0</v>
      </c>
      <c r="T11" s="2">
        <v>1</v>
      </c>
      <c r="U11" t="s">
        <v>53</v>
      </c>
      <c r="V11" t="s">
        <v>83</v>
      </c>
      <c r="W11" t="s">
        <v>124</v>
      </c>
      <c r="X11" t="s">
        <v>125</v>
      </c>
      <c r="Y11" t="s">
        <v>126</v>
      </c>
      <c r="Z11" t="s">
        <v>127</v>
      </c>
      <c r="AA11" t="s">
        <v>44</v>
      </c>
      <c r="AB11" t="s">
        <v>44</v>
      </c>
      <c r="AC11" t="s">
        <v>44</v>
      </c>
      <c r="AD11" t="s">
        <v>57</v>
      </c>
      <c r="AE11" t="s">
        <v>58</v>
      </c>
      <c r="AF11" t="s">
        <v>59</v>
      </c>
      <c r="AG11" t="s">
        <v>60</v>
      </c>
      <c r="AH11" t="s">
        <v>43</v>
      </c>
      <c r="AI11" t="s">
        <v>61</v>
      </c>
      <c r="AM11" t="s">
        <v>62</v>
      </c>
      <c r="AN11" t="s">
        <v>63</v>
      </c>
      <c r="AP11" t="s">
        <v>64</v>
      </c>
      <c r="AQ11" t="s">
        <v>65</v>
      </c>
    </row>
    <row r="12" spans="1:43" ht="13.8" x14ac:dyDescent="0.3">
      <c r="A12" t="s">
        <v>128</v>
      </c>
      <c r="B12" s="1">
        <v>46146</v>
      </c>
      <c r="C12" s="4" t="s">
        <v>129</v>
      </c>
      <c r="D12" t="s">
        <v>130</v>
      </c>
      <c r="E12" t="s">
        <v>131</v>
      </c>
      <c r="F12" t="s">
        <v>49</v>
      </c>
      <c r="H12" s="2">
        <v>8.7799999999999994</v>
      </c>
      <c r="I12" s="2">
        <v>8.7799999999999994</v>
      </c>
      <c r="J12" s="2">
        <v>8.7799999999999994</v>
      </c>
      <c r="K12" s="2">
        <v>0</v>
      </c>
      <c r="L12" t="s">
        <v>50</v>
      </c>
      <c r="M12" s="2">
        <v>96.71</v>
      </c>
      <c r="N12" s="2">
        <v>96.71</v>
      </c>
      <c r="S12" s="2">
        <v>0</v>
      </c>
      <c r="T12" s="2">
        <v>1</v>
      </c>
      <c r="U12" t="s">
        <v>53</v>
      </c>
      <c r="V12" t="s">
        <v>54</v>
      </c>
      <c r="W12" t="s">
        <v>132</v>
      </c>
      <c r="X12" t="s">
        <v>73</v>
      </c>
      <c r="Y12" t="s">
        <v>44</v>
      </c>
      <c r="Z12" t="s">
        <v>133</v>
      </c>
      <c r="AA12" t="s">
        <v>134</v>
      </c>
      <c r="AB12" t="s">
        <v>44</v>
      </c>
      <c r="AC12" t="s">
        <v>44</v>
      </c>
      <c r="AD12" t="s">
        <v>135</v>
      </c>
      <c r="AE12" t="s">
        <v>136</v>
      </c>
      <c r="AF12" t="s">
        <v>59</v>
      </c>
      <c r="AG12" t="s">
        <v>137</v>
      </c>
      <c r="AH12" t="s">
        <v>43</v>
      </c>
      <c r="AI12" t="s">
        <v>61</v>
      </c>
      <c r="AM12" t="s">
        <v>138</v>
      </c>
      <c r="AN12" t="s">
        <v>139</v>
      </c>
      <c r="AP12" t="s">
        <v>73</v>
      </c>
      <c r="AQ12" t="s">
        <v>65</v>
      </c>
    </row>
    <row r="13" spans="1:43" ht="13.8" x14ac:dyDescent="0.3">
      <c r="A13" t="s">
        <v>140</v>
      </c>
      <c r="B13" s="1">
        <v>46147</v>
      </c>
      <c r="C13" s="4" t="s">
        <v>141</v>
      </c>
      <c r="D13" t="s">
        <v>89</v>
      </c>
      <c r="E13" t="s">
        <v>69</v>
      </c>
      <c r="F13" t="s">
        <v>49</v>
      </c>
      <c r="H13" s="2">
        <v>0</v>
      </c>
      <c r="I13" s="2">
        <v>666.63</v>
      </c>
      <c r="J13" s="2">
        <v>666.63</v>
      </c>
      <c r="K13" s="2">
        <v>0</v>
      </c>
      <c r="L13" t="s">
        <v>50</v>
      </c>
      <c r="M13" s="2">
        <v>7206</v>
      </c>
      <c r="N13" s="2">
        <v>6537</v>
      </c>
      <c r="O13" t="s">
        <v>142</v>
      </c>
      <c r="P13" t="s">
        <v>143</v>
      </c>
      <c r="Q13" t="s">
        <v>49</v>
      </c>
      <c r="R13" s="2">
        <v>669</v>
      </c>
      <c r="S13" s="2">
        <v>0</v>
      </c>
      <c r="T13" s="2">
        <v>1</v>
      </c>
      <c r="U13" t="s">
        <v>53</v>
      </c>
      <c r="V13" t="s">
        <v>54</v>
      </c>
      <c r="W13" t="s">
        <v>92</v>
      </c>
      <c r="X13" t="s">
        <v>71</v>
      </c>
      <c r="Y13" t="s">
        <v>44</v>
      </c>
      <c r="Z13" t="s">
        <v>144</v>
      </c>
      <c r="AA13" t="s">
        <v>44</v>
      </c>
      <c r="AB13" t="s">
        <v>44</v>
      </c>
      <c r="AC13" t="s">
        <v>44</v>
      </c>
      <c r="AD13" t="s">
        <v>135</v>
      </c>
      <c r="AE13" t="s">
        <v>136</v>
      </c>
      <c r="AF13" t="s">
        <v>59</v>
      </c>
      <c r="AG13" t="s">
        <v>137</v>
      </c>
      <c r="AH13" t="s">
        <v>43</v>
      </c>
      <c r="AI13" t="s">
        <v>61</v>
      </c>
      <c r="AM13" t="s">
        <v>138</v>
      </c>
      <c r="AN13" t="s">
        <v>139</v>
      </c>
      <c r="AP13" t="s">
        <v>73</v>
      </c>
      <c r="AQ13" t="s">
        <v>65</v>
      </c>
    </row>
    <row r="14" spans="1:43" ht="13.8" x14ac:dyDescent="0.3">
      <c r="A14" t="s">
        <v>145</v>
      </c>
      <c r="B14" s="1">
        <v>46147</v>
      </c>
      <c r="C14" s="4" t="s">
        <v>146</v>
      </c>
      <c r="D14" t="s">
        <v>47</v>
      </c>
      <c r="E14" t="s">
        <v>48</v>
      </c>
      <c r="F14" t="s">
        <v>49</v>
      </c>
      <c r="H14" s="2">
        <v>10</v>
      </c>
      <c r="I14" s="2">
        <v>10</v>
      </c>
      <c r="J14" s="2">
        <v>10</v>
      </c>
      <c r="K14" s="2">
        <v>0</v>
      </c>
      <c r="L14" t="s">
        <v>50</v>
      </c>
      <c r="M14" s="2">
        <v>107</v>
      </c>
      <c r="N14" s="2">
        <v>107</v>
      </c>
      <c r="S14" s="2">
        <v>0</v>
      </c>
      <c r="T14" s="2">
        <v>1</v>
      </c>
      <c r="U14" t="s">
        <v>53</v>
      </c>
      <c r="V14" t="s">
        <v>83</v>
      </c>
      <c r="W14" t="s">
        <v>147</v>
      </c>
      <c r="X14" t="s">
        <v>148</v>
      </c>
      <c r="Y14" t="s">
        <v>149</v>
      </c>
      <c r="Z14" t="s">
        <v>150</v>
      </c>
      <c r="AA14" t="s">
        <v>44</v>
      </c>
      <c r="AB14" t="s">
        <v>44</v>
      </c>
      <c r="AC14" t="s">
        <v>44</v>
      </c>
      <c r="AD14" t="s">
        <v>135</v>
      </c>
      <c r="AE14" t="s">
        <v>136</v>
      </c>
      <c r="AF14" t="s">
        <v>59</v>
      </c>
      <c r="AG14" t="s">
        <v>137</v>
      </c>
      <c r="AH14" t="s">
        <v>43</v>
      </c>
      <c r="AI14" t="s">
        <v>61</v>
      </c>
      <c r="AM14" t="s">
        <v>138</v>
      </c>
      <c r="AN14" t="s">
        <v>139</v>
      </c>
      <c r="AP14" t="s">
        <v>73</v>
      </c>
      <c r="AQ14" t="s">
        <v>65</v>
      </c>
    </row>
    <row r="15" spans="1:43" ht="13.8" x14ac:dyDescent="0.3">
      <c r="A15" t="s">
        <v>151</v>
      </c>
      <c r="B15" s="1">
        <v>46147</v>
      </c>
      <c r="C15" s="4" t="s">
        <v>152</v>
      </c>
      <c r="D15" t="s">
        <v>116</v>
      </c>
      <c r="E15" t="s">
        <v>69</v>
      </c>
      <c r="F15" t="s">
        <v>49</v>
      </c>
      <c r="H15" s="2">
        <v>15</v>
      </c>
      <c r="I15" s="2">
        <v>15</v>
      </c>
      <c r="J15" s="2">
        <v>15</v>
      </c>
      <c r="K15" s="2">
        <v>0</v>
      </c>
      <c r="L15" t="s">
        <v>50</v>
      </c>
      <c r="M15" s="2">
        <v>165.3</v>
      </c>
      <c r="N15" s="2">
        <v>165.3</v>
      </c>
      <c r="S15" s="2">
        <v>0</v>
      </c>
      <c r="T15" s="2">
        <v>1</v>
      </c>
      <c r="U15" t="s">
        <v>53</v>
      </c>
      <c r="V15" t="s">
        <v>54</v>
      </c>
      <c r="W15" t="s">
        <v>153</v>
      </c>
      <c r="X15" t="s">
        <v>154</v>
      </c>
      <c r="Y15" t="s">
        <v>155</v>
      </c>
      <c r="Z15" t="s">
        <v>44</v>
      </c>
      <c r="AA15" t="s">
        <v>44</v>
      </c>
      <c r="AB15" t="s">
        <v>44</v>
      </c>
      <c r="AC15" t="s">
        <v>44</v>
      </c>
      <c r="AD15" t="s">
        <v>135</v>
      </c>
      <c r="AE15" t="s">
        <v>136</v>
      </c>
      <c r="AF15" t="s">
        <v>59</v>
      </c>
      <c r="AG15" t="s">
        <v>137</v>
      </c>
      <c r="AH15" t="s">
        <v>43</v>
      </c>
      <c r="AI15" t="s">
        <v>61</v>
      </c>
      <c r="AM15" t="s">
        <v>138</v>
      </c>
      <c r="AN15" t="s">
        <v>139</v>
      </c>
      <c r="AP15" t="s">
        <v>156</v>
      </c>
      <c r="AQ15" t="s">
        <v>65</v>
      </c>
    </row>
    <row r="16" spans="1:43" ht="13.8" x14ac:dyDescent="0.3">
      <c r="A16" t="s">
        <v>157</v>
      </c>
      <c r="B16" s="1">
        <v>46148</v>
      </c>
      <c r="C16" s="4" t="s">
        <v>158</v>
      </c>
      <c r="D16" t="s">
        <v>47</v>
      </c>
      <c r="E16" t="s">
        <v>48</v>
      </c>
      <c r="F16" t="s">
        <v>49</v>
      </c>
      <c r="H16" s="2">
        <v>12.92</v>
      </c>
      <c r="I16" s="2">
        <v>12.92</v>
      </c>
      <c r="J16" s="2">
        <v>12.92</v>
      </c>
      <c r="K16" s="2">
        <v>0</v>
      </c>
      <c r="L16" t="s">
        <v>50</v>
      </c>
      <c r="M16" s="2">
        <v>142.38</v>
      </c>
      <c r="N16" s="2">
        <v>142.38</v>
      </c>
      <c r="S16" s="2">
        <v>0</v>
      </c>
      <c r="T16" s="2">
        <v>1</v>
      </c>
      <c r="U16" t="s">
        <v>53</v>
      </c>
      <c r="V16" t="s">
        <v>83</v>
      </c>
      <c r="W16" t="s">
        <v>159</v>
      </c>
      <c r="X16" t="s">
        <v>160</v>
      </c>
      <c r="Y16" t="s">
        <v>161</v>
      </c>
      <c r="Z16" t="s">
        <v>162</v>
      </c>
      <c r="AA16" t="s">
        <v>44</v>
      </c>
      <c r="AB16" t="s">
        <v>44</v>
      </c>
      <c r="AC16" t="s">
        <v>44</v>
      </c>
      <c r="AD16" t="s">
        <v>135</v>
      </c>
      <c r="AE16" t="s">
        <v>136</v>
      </c>
      <c r="AF16" t="s">
        <v>59</v>
      </c>
      <c r="AG16" t="s">
        <v>137</v>
      </c>
      <c r="AH16" t="s">
        <v>43</v>
      </c>
      <c r="AI16" t="s">
        <v>61</v>
      </c>
      <c r="AM16" t="s">
        <v>138</v>
      </c>
      <c r="AN16" t="s">
        <v>139</v>
      </c>
      <c r="AP16" t="s">
        <v>156</v>
      </c>
      <c r="AQ16" t="s">
        <v>65</v>
      </c>
    </row>
    <row r="17" spans="1:43" ht="13.8" x14ac:dyDescent="0.3">
      <c r="A17" t="s">
        <v>163</v>
      </c>
      <c r="B17" s="1">
        <v>46149</v>
      </c>
      <c r="C17" s="4" t="s">
        <v>164</v>
      </c>
      <c r="D17" t="s">
        <v>104</v>
      </c>
      <c r="E17" t="s">
        <v>69</v>
      </c>
      <c r="F17" t="s">
        <v>49</v>
      </c>
      <c r="H17" s="2">
        <v>354</v>
      </c>
      <c r="I17" s="2">
        <v>354</v>
      </c>
      <c r="J17" s="2">
        <v>354</v>
      </c>
      <c r="K17" s="2">
        <v>0</v>
      </c>
      <c r="L17" t="s">
        <v>50</v>
      </c>
      <c r="M17" s="2">
        <v>3901.08</v>
      </c>
      <c r="N17" s="2">
        <v>3546.44</v>
      </c>
      <c r="O17" t="s">
        <v>96</v>
      </c>
      <c r="P17" t="s">
        <v>165</v>
      </c>
      <c r="Q17" t="s">
        <v>49</v>
      </c>
      <c r="R17" s="2">
        <v>354.64</v>
      </c>
      <c r="S17" s="2">
        <v>0</v>
      </c>
      <c r="T17" s="2">
        <v>2</v>
      </c>
      <c r="U17" t="s">
        <v>53</v>
      </c>
      <c r="V17" t="s">
        <v>54</v>
      </c>
      <c r="W17" t="s">
        <v>166</v>
      </c>
      <c r="X17" t="s">
        <v>167</v>
      </c>
      <c r="Y17" t="s">
        <v>168</v>
      </c>
      <c r="Z17" t="s">
        <v>169</v>
      </c>
      <c r="AA17" t="s">
        <v>44</v>
      </c>
      <c r="AB17" t="s">
        <v>44</v>
      </c>
      <c r="AC17" t="s">
        <v>44</v>
      </c>
      <c r="AD17" t="s">
        <v>135</v>
      </c>
      <c r="AE17" t="s">
        <v>136</v>
      </c>
      <c r="AF17" t="s">
        <v>59</v>
      </c>
      <c r="AG17" t="s">
        <v>137</v>
      </c>
      <c r="AH17" t="s">
        <v>43</v>
      </c>
      <c r="AI17" t="s">
        <v>61</v>
      </c>
      <c r="AM17" t="s">
        <v>138</v>
      </c>
      <c r="AN17" t="s">
        <v>139</v>
      </c>
      <c r="AP17" t="s">
        <v>156</v>
      </c>
      <c r="AQ17" t="s">
        <v>65</v>
      </c>
    </row>
    <row r="18" spans="1:43" ht="13.8" x14ac:dyDescent="0.3">
      <c r="A18" t="s">
        <v>170</v>
      </c>
      <c r="B18" s="1">
        <v>46152</v>
      </c>
      <c r="C18" s="4" t="s">
        <v>171</v>
      </c>
      <c r="D18" t="s">
        <v>68</v>
      </c>
      <c r="E18" t="s">
        <v>69</v>
      </c>
      <c r="F18" t="s">
        <v>49</v>
      </c>
      <c r="H18" s="2">
        <v>12.72</v>
      </c>
      <c r="I18" s="2">
        <v>12.72</v>
      </c>
      <c r="J18" s="2">
        <v>12.72</v>
      </c>
      <c r="K18" s="2">
        <v>0</v>
      </c>
      <c r="L18" t="s">
        <v>50</v>
      </c>
      <c r="M18" s="2">
        <v>140.16999999999999</v>
      </c>
      <c r="N18" s="2">
        <v>140.16999999999999</v>
      </c>
      <c r="S18" s="2">
        <v>0</v>
      </c>
      <c r="T18" s="2">
        <v>1</v>
      </c>
      <c r="U18" t="s">
        <v>53</v>
      </c>
      <c r="V18" t="s">
        <v>54</v>
      </c>
      <c r="W18" t="s">
        <v>112</v>
      </c>
      <c r="X18" t="s">
        <v>172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135</v>
      </c>
      <c r="AE18" t="s">
        <v>136</v>
      </c>
      <c r="AF18" t="s">
        <v>59</v>
      </c>
      <c r="AG18" t="s">
        <v>137</v>
      </c>
      <c r="AH18" t="s">
        <v>43</v>
      </c>
      <c r="AI18" t="s">
        <v>61</v>
      </c>
      <c r="AM18" t="s">
        <v>138</v>
      </c>
      <c r="AN18" t="s">
        <v>139</v>
      </c>
      <c r="AP18" t="s">
        <v>156</v>
      </c>
      <c r="AQ18" t="s">
        <v>65</v>
      </c>
    </row>
    <row r="19" spans="1:43" ht="13.8" x14ac:dyDescent="0.3">
      <c r="A19" t="s">
        <v>173</v>
      </c>
      <c r="B19" s="1">
        <v>46152</v>
      </c>
      <c r="C19" s="4" t="s">
        <v>174</v>
      </c>
      <c r="D19" t="s">
        <v>116</v>
      </c>
      <c r="E19" t="s">
        <v>69</v>
      </c>
      <c r="F19" t="s">
        <v>49</v>
      </c>
      <c r="H19" s="2">
        <v>15</v>
      </c>
      <c r="I19" s="2">
        <v>15</v>
      </c>
      <c r="J19" s="2">
        <v>15</v>
      </c>
      <c r="K19" s="2">
        <v>0</v>
      </c>
      <c r="L19" t="s">
        <v>50</v>
      </c>
      <c r="M19" s="2">
        <v>165.3</v>
      </c>
      <c r="N19" s="2">
        <v>165.3</v>
      </c>
      <c r="S19" s="2">
        <v>0</v>
      </c>
      <c r="T19" s="2">
        <v>1</v>
      </c>
      <c r="U19" t="s">
        <v>53</v>
      </c>
      <c r="V19" t="s">
        <v>54</v>
      </c>
      <c r="W19" t="s">
        <v>175</v>
      </c>
      <c r="X19" t="s">
        <v>154</v>
      </c>
      <c r="Y19" t="s">
        <v>155</v>
      </c>
      <c r="Z19" t="s">
        <v>176</v>
      </c>
      <c r="AA19" t="s">
        <v>44</v>
      </c>
      <c r="AB19" t="s">
        <v>44</v>
      </c>
      <c r="AC19" t="s">
        <v>44</v>
      </c>
      <c r="AD19" t="s">
        <v>135</v>
      </c>
      <c r="AE19" t="s">
        <v>136</v>
      </c>
      <c r="AF19" t="s">
        <v>59</v>
      </c>
      <c r="AG19" t="s">
        <v>137</v>
      </c>
      <c r="AH19" t="s">
        <v>43</v>
      </c>
      <c r="AI19" t="s">
        <v>61</v>
      </c>
      <c r="AM19" t="s">
        <v>138</v>
      </c>
      <c r="AN19" t="s">
        <v>139</v>
      </c>
      <c r="AP19" t="s">
        <v>156</v>
      </c>
      <c r="AQ19" t="s">
        <v>65</v>
      </c>
    </row>
    <row r="20" spans="1:43" ht="13.8" x14ac:dyDescent="0.3">
      <c r="A20" t="s">
        <v>177</v>
      </c>
      <c r="B20" s="1">
        <v>46152</v>
      </c>
      <c r="C20" s="4" t="s">
        <v>178</v>
      </c>
      <c r="D20" t="s">
        <v>47</v>
      </c>
      <c r="E20" t="s">
        <v>48</v>
      </c>
      <c r="F20" t="s">
        <v>49</v>
      </c>
      <c r="H20" s="2">
        <v>10.4</v>
      </c>
      <c r="I20" s="2">
        <v>10.4</v>
      </c>
      <c r="J20" s="2">
        <v>10.4</v>
      </c>
      <c r="K20" s="2">
        <v>0</v>
      </c>
      <c r="L20" t="s">
        <v>50</v>
      </c>
      <c r="M20" s="2">
        <v>114.61</v>
      </c>
      <c r="N20" s="2">
        <v>104.19</v>
      </c>
      <c r="O20" t="s">
        <v>96</v>
      </c>
      <c r="P20" t="s">
        <v>179</v>
      </c>
      <c r="Q20" t="s">
        <v>49</v>
      </c>
      <c r="R20" s="2">
        <v>10.42</v>
      </c>
      <c r="S20" s="2">
        <v>0</v>
      </c>
      <c r="T20" s="2">
        <v>1</v>
      </c>
      <c r="U20" t="s">
        <v>53</v>
      </c>
      <c r="V20" t="s">
        <v>54</v>
      </c>
      <c r="W20" t="s">
        <v>180</v>
      </c>
      <c r="X20" t="s">
        <v>181</v>
      </c>
      <c r="Y20" t="s">
        <v>182</v>
      </c>
      <c r="Z20" t="s">
        <v>183</v>
      </c>
      <c r="AA20" t="s">
        <v>44</v>
      </c>
      <c r="AB20" t="s">
        <v>44</v>
      </c>
      <c r="AC20" t="s">
        <v>44</v>
      </c>
      <c r="AD20" t="s">
        <v>135</v>
      </c>
      <c r="AE20" t="s">
        <v>136</v>
      </c>
      <c r="AF20" t="s">
        <v>59</v>
      </c>
      <c r="AG20" t="s">
        <v>137</v>
      </c>
      <c r="AH20" t="s">
        <v>43</v>
      </c>
      <c r="AI20" t="s">
        <v>61</v>
      </c>
      <c r="AM20" t="s">
        <v>138</v>
      </c>
      <c r="AN20" t="s">
        <v>139</v>
      </c>
      <c r="AP20" t="s">
        <v>156</v>
      </c>
      <c r="AQ20" t="s">
        <v>65</v>
      </c>
    </row>
    <row r="21" spans="1:43" ht="13.8" x14ac:dyDescent="0.3">
      <c r="A21" s="3" t="s">
        <v>184</v>
      </c>
      <c r="H21" s="5">
        <f t="shared" ref="H21:S21" si="0">SUM(H2:H20)</f>
        <v>760.38</v>
      </c>
      <c r="I21" s="5">
        <f t="shared" si="0"/>
        <v>1840.7</v>
      </c>
      <c r="J21" s="5">
        <f t="shared" si="0"/>
        <v>1823.7400000000002</v>
      </c>
      <c r="K21" s="5">
        <f t="shared" si="0"/>
        <v>16.96</v>
      </c>
      <c r="L21" s="5">
        <f t="shared" si="0"/>
        <v>0</v>
      </c>
      <c r="M21" s="5">
        <f t="shared" si="0"/>
        <v>20369.619999999992</v>
      </c>
      <c r="N21" s="5">
        <f t="shared" si="0"/>
        <v>16768.729999999996</v>
      </c>
      <c r="O21" s="5">
        <f t="shared" si="0"/>
        <v>0</v>
      </c>
      <c r="P21" s="5">
        <f t="shared" si="0"/>
        <v>0</v>
      </c>
      <c r="Q21" s="5">
        <f t="shared" si="0"/>
        <v>0</v>
      </c>
      <c r="R21" s="5">
        <f t="shared" si="0"/>
        <v>3600.8900000000003</v>
      </c>
      <c r="S21" s="5">
        <f t="shared" si="0"/>
        <v>0</v>
      </c>
    </row>
    <row r="22" spans="1:43" ht="13.8" x14ac:dyDescent="0.3"/>
    <row r="23" spans="1:43" ht="13.8" x14ac:dyDescent="0.3"/>
    <row r="24" spans="1:43" ht="13.8" x14ac:dyDescent="0.3"/>
    <row r="25" spans="1:43" ht="13.8" x14ac:dyDescent="0.3"/>
    <row r="26" spans="1:43" ht="13.8" x14ac:dyDescent="0.3"/>
    <row r="27" spans="1:43" ht="13.8" x14ac:dyDescent="0.3"/>
    <row r="28" spans="1:43" ht="13.8" x14ac:dyDescent="0.3"/>
  </sheetData>
  <hyperlinks>
    <hyperlink ref="C2" r:id="rId1" location="/Invoices/0b1cade8-096e-4520-a3e9-7ec1cf3f58ac?userId=fac0303a-94ca-4772-ad0c-e66071d9b9c5&amp;isMileage=false&amp;isPerdiem=false&amp;useType=1" xr:uid="{00000000-0004-0000-0000-000000000000}"/>
    <hyperlink ref="C3" r:id="rId2" location="/Invoices/a85b3e35-60d2-4ce0-abf1-36f1d22e9cd7?userId=fac0303a-94ca-4772-ad0c-e66071d9b9c5&amp;isMileage=false&amp;isPerdiem=false&amp;useType=1" xr:uid="{00000000-0004-0000-0000-000001000000}"/>
    <hyperlink ref="C4" r:id="rId3" location="/Invoices/25f7d27a-cc58-497a-9a6b-4509072c55a9?userId=fac0303a-94ca-4772-ad0c-e66071d9b9c5&amp;isMileage=false&amp;isPerdiem=false&amp;useType=1" xr:uid="{00000000-0004-0000-0000-000002000000}"/>
    <hyperlink ref="C5" r:id="rId4" location="/Invoices/def4ecab-4727-457b-9fa3-069446dc4d5d?userId=fac0303a-94ca-4772-ad0c-e66071d9b9c5&amp;isMileage=false&amp;isPerdiem=false&amp;useType=1" xr:uid="{00000000-0004-0000-0000-000003000000}"/>
    <hyperlink ref="C6" r:id="rId5" location="/Invoices/20bbca72-092e-410e-91e1-19e78586e3d9?userId=fac0303a-94ca-4772-ad0c-e66071d9b9c5&amp;isMileage=false&amp;isPerdiem=false&amp;useType=1" xr:uid="{00000000-0004-0000-0000-000004000000}"/>
    <hyperlink ref="C7" r:id="rId6" location="/Invoices/19f8a394-940d-430d-9e0d-15e19fbcd9fa?userId=fac0303a-94ca-4772-ad0c-e66071d9b9c5&amp;isMileage=false&amp;isPerdiem=false&amp;useType=1" xr:uid="{00000000-0004-0000-0000-000005000000}"/>
    <hyperlink ref="C8" r:id="rId7" location="/Invoices/409f7ef8-43f6-42c0-9511-5c7f07841dba?userId=fac0303a-94ca-4772-ad0c-e66071d9b9c5&amp;isMileage=false&amp;isPerdiem=false&amp;useType=1" xr:uid="{00000000-0004-0000-0000-000006000000}"/>
    <hyperlink ref="C9" r:id="rId8" location="/Invoices/c08bfc82-9171-485b-ae52-fdcab133b7b4?userId=fac0303a-94ca-4772-ad0c-e66071d9b9c5&amp;isMileage=false&amp;isPerdiem=false&amp;useType=1" xr:uid="{00000000-0004-0000-0000-000007000000}"/>
    <hyperlink ref="C10" r:id="rId9" location="/Invoices/0293a029-03fc-42a2-9af7-fbc480f27653?userId=fac0303a-94ca-4772-ad0c-e66071d9b9c5&amp;isMileage=false&amp;isPerdiem=false&amp;useType=1" xr:uid="{00000000-0004-0000-0000-000008000000}"/>
    <hyperlink ref="C11" r:id="rId10" location="/Invoices/7b666dd2-0450-496e-a46f-ee1755adced3?userId=fac0303a-94ca-4772-ad0c-e66071d9b9c5&amp;isMileage=false&amp;isPerdiem=false&amp;useType=1" xr:uid="{00000000-0004-0000-0000-000009000000}"/>
    <hyperlink ref="C12" r:id="rId11" location="/Invoices/fdbac0b5-595e-4b83-a0ee-7e518e1caabb?userId=fac0303a-94ca-4772-ad0c-e66071d9b9c5&amp;isMileage=false&amp;isPerdiem=false&amp;useType=1" xr:uid="{00000000-0004-0000-0000-00000A000000}"/>
    <hyperlink ref="C13" r:id="rId12" location="/Invoices/ee670b52-3210-4e03-9e2d-08a93b4852ed?userId=fac0303a-94ca-4772-ad0c-e66071d9b9c5&amp;isMileage=false&amp;isPerdiem=false&amp;useType=1" xr:uid="{00000000-0004-0000-0000-00000B000000}"/>
    <hyperlink ref="C14" r:id="rId13" location="/Invoices/a362e3eb-08cd-4fab-bdaf-9454a9e097e0?userId=fac0303a-94ca-4772-ad0c-e66071d9b9c5&amp;isMileage=false&amp;isPerdiem=false&amp;useType=1" xr:uid="{00000000-0004-0000-0000-00000C000000}"/>
    <hyperlink ref="C15" r:id="rId14" location="/Invoices/7109fee5-c687-4f6f-a99f-ebd43795d438?userId=fac0303a-94ca-4772-ad0c-e66071d9b9c5&amp;isMileage=false&amp;isPerdiem=false&amp;useType=1" xr:uid="{00000000-0004-0000-0000-00000D000000}"/>
    <hyperlink ref="C16" r:id="rId15" location="/Invoices/71884547-c7fe-454b-85cf-725374bc2de8?userId=fac0303a-94ca-4772-ad0c-e66071d9b9c5&amp;isMileage=false&amp;isPerdiem=false&amp;useType=1" xr:uid="{00000000-0004-0000-0000-00000E000000}"/>
    <hyperlink ref="C17" r:id="rId16" location="/Invoices/7570e17c-da7a-4929-a7d4-54525a7bec12?userId=fac0303a-94ca-4772-ad0c-e66071d9b9c5&amp;isMileage=false&amp;isPerdiem=false&amp;useType=1" xr:uid="{00000000-0004-0000-0000-00000F000000}"/>
    <hyperlink ref="C18" r:id="rId17" location="/Invoices/730f3540-6e1c-49f6-8d3b-13583707c855?userId=fac0303a-94ca-4772-ad0c-e66071d9b9c5&amp;isMileage=false&amp;isPerdiem=false&amp;useType=1" xr:uid="{00000000-0004-0000-0000-000010000000}"/>
    <hyperlink ref="C19" r:id="rId18" location="/Invoices/2edbd010-658e-407b-afc8-93ed83fcc203?userId=fac0303a-94ca-4772-ad0c-e66071d9b9c5&amp;isMileage=false&amp;isPerdiem=false&amp;useType=1" xr:uid="{00000000-0004-0000-0000-000011000000}"/>
    <hyperlink ref="C20" r:id="rId19" location="/Invoices/a7aa9aa8-153f-4b55-83c6-20d307f0b2d6?userId=fac0303a-94ca-4772-ad0c-e66071d9b9c5&amp;isMileage=false&amp;isPerdiem=false&amp;useType=1" xr:uid="{00000000-0004-0000-0000-000012000000}"/>
  </hyperlinks>
  <pageMargins left="0.7" right="0.7" top="0.75" bottom="0.75" header="0.3" footer="0.3"/>
  <tableParts count="1">
    <tablePart r:id="rId2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baseColWidth="10" defaultRowHeight="14.4" x14ac:dyDescent="0.3"/>
  <cols>
    <col min="1" max="5" width="16" customWidth="1"/>
  </cols>
  <sheetData>
    <row r="1" spans="1:5" ht="24" x14ac:dyDescent="0.3">
      <c r="A1" s="3" t="s">
        <v>4</v>
      </c>
      <c r="B1" s="3" t="s">
        <v>8</v>
      </c>
      <c r="C1" s="3" t="s">
        <v>10</v>
      </c>
      <c r="D1" s="3" t="s">
        <v>9</v>
      </c>
      <c r="E1" s="3" t="s">
        <v>7</v>
      </c>
    </row>
    <row r="2" spans="1:5" ht="13.8" x14ac:dyDescent="0.3">
      <c r="A2" t="s">
        <v>69</v>
      </c>
      <c r="B2" s="2">
        <v>1769.75</v>
      </c>
      <c r="C2" s="2">
        <v>15.63</v>
      </c>
      <c r="D2" s="2">
        <v>1754.12</v>
      </c>
      <c r="E2" s="2">
        <v>689.43</v>
      </c>
    </row>
    <row r="3" spans="1:5" ht="13.8" x14ac:dyDescent="0.3">
      <c r="A3" t="s">
        <v>82</v>
      </c>
      <c r="B3" s="2">
        <v>1.5</v>
      </c>
      <c r="C3" s="2">
        <v>0</v>
      </c>
      <c r="D3" s="2">
        <v>1.5</v>
      </c>
      <c r="E3" s="2">
        <v>1.5</v>
      </c>
    </row>
    <row r="4" spans="1:5" ht="13.8" x14ac:dyDescent="0.3">
      <c r="A4" t="s">
        <v>131</v>
      </c>
      <c r="B4" s="2">
        <v>8.7799999999999994</v>
      </c>
      <c r="C4" s="2">
        <v>0</v>
      </c>
      <c r="D4" s="2">
        <v>8.7799999999999994</v>
      </c>
      <c r="E4" s="2">
        <v>8.7799999999999994</v>
      </c>
    </row>
    <row r="5" spans="1:5" ht="13.8" x14ac:dyDescent="0.3">
      <c r="A5" t="s">
        <v>48</v>
      </c>
      <c r="B5" s="2">
        <v>60.67</v>
      </c>
      <c r="C5" s="2">
        <v>1.33</v>
      </c>
      <c r="D5" s="2">
        <v>59.34</v>
      </c>
      <c r="E5" s="2">
        <v>60.67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RowHeight="14.4" x14ac:dyDescent="0.3"/>
  <cols>
    <col min="1" max="3" width="16" customWidth="1"/>
    <col min="4" max="4" width="25" customWidth="1"/>
  </cols>
  <sheetData>
    <row r="1" spans="1:3" ht="13.8" x14ac:dyDescent="0.3">
      <c r="A1" s="3" t="s">
        <v>33</v>
      </c>
      <c r="B1" s="3" t="s">
        <v>34</v>
      </c>
      <c r="C1" s="3" t="s">
        <v>7</v>
      </c>
    </row>
    <row r="2" spans="1:3" ht="13.8" x14ac:dyDescent="0.3">
      <c r="A2" t="s">
        <v>43</v>
      </c>
      <c r="B2" t="s">
        <v>61</v>
      </c>
      <c r="C2" s="2">
        <v>760.38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Rapport</vt:lpstr>
      <vt:lpstr>Export Comptable_1</vt:lpstr>
      <vt:lpstr>Rapport_2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Ilyass Gotni</cp:lastModifiedBy>
  <dcterms:modified xsi:type="dcterms:W3CDTF">2026-07-23T10:54:10Z</dcterms:modified>
</cp:coreProperties>
</file>